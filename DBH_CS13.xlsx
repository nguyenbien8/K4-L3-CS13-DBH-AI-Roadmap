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n\Downloads\CS13\"/>
    </mc:Choice>
  </mc:AlternateContent>
  <xr:revisionPtr revIDLastSave="0" documentId="13_ncr:1_{F82164E4-9B45-4153-B44B-E481500634EF}" xr6:coauthVersionLast="47" xr6:coauthVersionMax="47" xr10:uidLastSave="{00000000-0000-0000-0000-000000000000}"/>
  <bookViews>
    <workbookView xWindow="5484" yWindow="3276" windowWidth="17280" windowHeight="8964"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M8" i="4"/>
  <c r="J8" i="4"/>
  <c r="K8" i="4" s="1"/>
  <c r="L8" i="4" s="1"/>
  <c r="M7" i="4"/>
  <c r="J7" i="4"/>
  <c r="K7" i="4" s="1"/>
  <c r="L7" i="4" s="1"/>
  <c r="M6" i="4"/>
  <c r="B7" i="8" s="1"/>
  <c r="C7" i="8" s="1"/>
  <c r="J6" i="4"/>
  <c r="K6" i="4" s="1"/>
  <c r="L6" i="4" s="1"/>
  <c r="J5" i="4"/>
  <c r="K5" i="4" s="1"/>
  <c r="L5" i="4" s="1"/>
  <c r="O14" i="3"/>
  <c r="M14" i="3"/>
  <c r="N14" i="3" s="1"/>
  <c r="O13" i="3"/>
  <c r="M13" i="3"/>
  <c r="N13" i="3" s="1"/>
  <c r="O12" i="3"/>
  <c r="M12" i="3"/>
  <c r="O11" i="3"/>
  <c r="M11" i="3"/>
  <c r="O10" i="3"/>
  <c r="M10" i="3"/>
  <c r="O9" i="3"/>
  <c r="M9" i="3"/>
  <c r="O8" i="3"/>
  <c r="M8" i="3"/>
  <c r="O7" i="3"/>
  <c r="M7" i="3"/>
  <c r="O6" i="3"/>
  <c r="M6" i="3"/>
  <c r="N6" i="3" s="1"/>
  <c r="O5" i="3"/>
  <c r="B6" i="8" s="1"/>
  <c r="M5" i="3"/>
  <c r="B12" i="2"/>
  <c r="N8" i="3" l="1"/>
  <c r="B12" i="8"/>
  <c r="C12" i="8" s="1"/>
  <c r="N12" i="3"/>
  <c r="N11" i="3"/>
  <c r="N10" i="3"/>
  <c r="N9" i="3"/>
  <c r="N7" i="3"/>
  <c r="B5" i="8"/>
  <c r="N5" i="3"/>
  <c r="B11" i="8"/>
  <c r="C11" i="8" s="1"/>
  <c r="C5" i="8" l="1"/>
  <c r="C6" i="8"/>
</calcChain>
</file>

<file path=xl/sharedStrings.xml><?xml version="1.0" encoding="utf-8"?>
<sst xmlns="http://schemas.openxmlformats.org/spreadsheetml/2006/main" count="316" uniqueCount="300">
  <si>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</si>
  <si>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</si>
  <si>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</si>
  <si>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</si>
  <si>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</si>
  <si>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</si>
  <si>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</si>
  <si>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</si>
  <si>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</si>
  <si>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</si>
  <si>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</si>
  <si>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</si>
  <si>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</si>
  <si>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</si>
  <si>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</si>
  <si>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</si>
  <si>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</si>
  <si>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</si>
  <si>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</si>
  <si>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</si>
  <si>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</si>
  <si>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</si>
  <si>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Đọc 9 dòng: 254 + 200 đ/hóa đơn, 1,5 phút duyệt, 3,97 triệu/văn phòng/tháng, 1.760 hóa đơn; kịch bản xấu hết tiền tháng 7</t>
  </si>
  <si>
    <t>Bối cảnh, sản phẩm, "1 việc" là gì</t>
  </si>
  <si>
    <t>Giả thuyết và chỉ số ở trang 1</t>
  </si>
  <si>
    <t>Viết giả thuyết theo đúng "1 việc" của đề</t>
  </si>
  <si>
    <t>1 việc = 1 hóa đơn được đọc, đối chiếu, nhập phần mềm kế toán; thử nghiệm 1 văn phòng, 40 doanh nghiệp, ~12.000 hóa đơn/tháng</t>
  </si>
  <si>
    <t>6 việc gợi ý</t>
  </si>
  <si>
    <t>Trang 1, cột B–C; nhóm được thêm việc của mình</t>
  </si>
  <si>
    <t>Giữ, bỏ hay đổi thứ tự đều phải ghi lý do ở cột Q</t>
  </si>
  <si>
    <t>Giữ 6 việc, thêm việc 7 (kiểm chứng doanh thu ≥ 10 văn phòng) và việc 8 (bộ đề 100 ca + giám sát hóa đơn thật)</t>
  </si>
  <si>
    <t>Kết quả đánh giá đã có (bộ đề, cổng phát hành)</t>
  </si>
  <si>
    <t>Cổng đánh giá ở trang 2; việc cần làm trước ở trang 3</t>
  </si>
  <si>
    <t>Đề 2, 3: kết luận chưa phải "Phát hành" → có việc phải làm trước</t>
  </si>
  <si>
    <t>Bản 2 đã Phát hành: đạt 97,3% (≥ 95%), 0 lỗi nghiêm trọng, 0 tầng tụt, kappa 0,90; tuần đầu chị Hạnh kiểm 1%</t>
  </si>
  <si>
    <t>Chuyên gia và số giờ của họ</t>
  </si>
  <si>
    <t>Dòng "Điều kiện cần" ở trang 3; ô "Cần gì" ở trang 5</t>
  </si>
  <si>
    <t>Dẫn đúng số giờ trong hồ sơ</t>
  </si>
  <si>
    <t>Chị Hạnh 3 giờ/tuần (sáng thứ Bảy) + anh Tùng; 1 vòng chấm 40 ca ≈ 8,5 giờ</t>
  </si>
  <si>
    <t>Gợi ý về người duyệt và mức tự động</t>
  </si>
  <si>
    <t>Trang 2, cột H và I</t>
  </si>
  <si>
    <t>Đề 3: bác sĩ của bệnh viện không tính vào chi phí</t>
  </si>
  <si>
    <t>Người duyệt của mình = kế toán viên công ty; Mức 1 ~20% (cờ + mẫu 10%), Mức 2 ~10%</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</si>
  <si>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</si>
  <si>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</si>
  <si>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</si>
  <si>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</si>
  <si>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</si>
  <si>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</si>
  <si>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</si>
  <si>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</si>
  <si>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</si>
  <si>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</si>
  <si>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</si>
  <si>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</si>
  <si>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</si>
  <si>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</si>
  <si>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</si>
  <si>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</si>
  <si>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</si>
  <si>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</si>
  <si>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</si>
  <si>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</si>
  <si>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</si>
  <si>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Đọc ảnh hoá đơn giấy, ảnh chụp</t>
  </si>
  <si>
    <t>Giảm 50% giờ nhập hoá đơn ảnh</t>
  </si>
  <si>
    <t>Ta tin rằng để bản 2 (đọc ảnh hai bước) điền sẵn các trường của hóa đơn giấy/ảnh chụp cho kế toán viên sẽ giảm một nửa thời gian nhập mỗi hóa đơn ảnh mà không thêm lỗi mã số thuế hay tiền</t>
  </si>
  <si>
    <t>Thời gian nhập TB/hóa đơn ảnh giảm ≥ 50% so với 2 tuần đo trước khi dùng; 0 lỗi mã số thuế/tiền trên ≥ 1.000 hóa đơn ảnh đã duyệt; trường phải sửa ≤ 5%</t>
  </si>
  <si>
    <t>Tự làm</t>
  </si>
  <si>
    <t>Hạng 5 nhưng vẫn đưa vào Bây giờ: bản 2 đã qua cổng (97,3%, 0 lỗi nghiêm trọng), chỉ còn vận hành và đo trên hóa đơn thật. Rủi ro bị nuốt 0,5 vì mô hình đa năng đọc ảnh ngày càng tốt → khác biệt nằm ở đối chiếu + gắn cờ</t>
  </si>
  <si>
    <t>Gắn cờ hoá đơn cần người xem</t>
  </si>
  <si>
    <t>Kế toán chỉ xem khoảng 20% hoá đơn</t>
  </si>
  <si>
    <t>Ta tin rằng gắn cờ đúng các hóa đơn rủi ro (lệch mã số thuế, lệch tiền, ảnh mờ, ngoài phạm vi) cho kế toán viên sẽ giúp họ chỉ cần xem khoảng 20% hóa đơn mà không để lọt lỗi mã số thuế/tiền</t>
  </si>
  <si>
    <t>Tỷ lệ hóa đơn bị gắn cờ ≤ 20% (báo động khi &gt; 30%); 100% hóa đơn có lỗi mã số thuế/tiền bị gắn cờ: 0 lọt trên ≥ 1.000 hóa đơn kiểm 100% (giới hạn trên 3/1.000 = 0,3%)</t>
  </si>
  <si>
    <t>Hạng 2: là điều kiện để giảm duyệt từ 100% xuống 20% (biên gộp 24,5% → 68,8%). Bám đúng câu của chị Hạnh: cờ thừa chấp nhận được, nửa số hóa đơn bị cờ thì không ai dùng. Gắn với quy trình riêng → khó bị nuốt</t>
  </si>
  <si>
    <t>Nhập tự động hoá đơn điện tử (tệp gốc)</t>
  </si>
  <si>
    <t>Giảm 70% thời gian nhập hoá đơn điện tử</t>
  </si>
  <si>
    <t>Ta tin rằng dùng tính năng nhập tệp gốc sẵn có của phần mềm kế toán, nối vào luồng SổSạch (đối chiếu + gắn cờ), sẽ giảm 70% thời gian nhập hóa đơn điện tử mà không cần tự xây bộ đọc</t>
  </si>
  <si>
    <t>Thời gian nhập TB/hóa đơn điện tử giảm ≥ 70%; ≥ 95% hóa đơn điện tử đi qua luồng tệp gốc không cần gõ tay; 0 lỗi tiền trên ≥ 1.000 hóa đơn</t>
  </si>
  <si>
    <t>Mua</t>
  </si>
  <si>
    <t>Hạng 3 nhưng không tự xây: phần mềm kế toán văn phòng đã có sẵn nhập tệp gốc (rủi ro bị nuốt 0,9). Chỉ làm phần nối luồng (1 tuần), dồn lực vào đối chiếu và gắn cờ</t>
  </si>
  <si>
    <t>Đối chiếu mã số thuế người bán</t>
  </si>
  <si>
    <t>Không nhập nhầm người bán</t>
  </si>
  <si>
    <t>Ta tin rằng tự động tra cứu và đối chiếu mã số thuế, tên người bán với dịch vụ tra cứu trước khi nhập sẽ giúp kế toán viên không bao giờ nhập nhầm người bán</t>
  </si>
  <si>
    <t>0 hóa đơn nhập sai mã số thuế người bán trên ≥ 3.000 hóa đơn thật (giới hạn trên 3/3.000 = 0,1%); 100% hóa đơn lệch tên/mã số thuế bị gắn cờ; tra cứu thành công ≥ 99%</t>
  </si>
  <si>
    <t>Hạng 1: lỗi mã số thuế là lỗi 'không được lần nào' (chị Hạnh). Mua dịch vụ tra cứu mã số thuế có sẵn để tích hợp, tự làm phần quy tắc chặn/gắn cờ. Làm đầu tiên trong Bây giờ</t>
  </si>
  <si>
    <t>Gợi ý tài khoản hạch toán</t>
  </si>
  <si>
    <t>Giảm 30% thời gian hạch toán</t>
  </si>
  <si>
    <t>Ta tin rằng gợi ý tài khoản hạch toán dựa trên lịch sử hạch toán của từng doanh nghiệp sẽ giúp kế toán viên giảm 30% thời gian hạch toán</t>
  </si>
  <si>
    <t>Gợi ý đúng tài khoản (top-1) ≥ 85% trên ≥ 2.000 bút toán đã có; thời gian hạch toán TB/hóa đơn giảm ≥ 30% so với trước</t>
  </si>
  <si>
    <t>Chờ</t>
  </si>
  <si>
    <t>Hạng 7. Chờ: chưa có dữ liệu hạch toán của doanh nghiệp khách hàng và chưa có bộ đề. Bây giờ chỉ xin đồng ý thu dữ liệu; xem lại ở ngày 90 và tháng 6, đưa vào tầng Sau này nếu có ≥ 2.000 bút toán</t>
  </si>
  <si>
    <t>Trả lời câu hỏi thuế chung cho khách của văn phòng</t>
  </si>
  <si>
    <t>Bớt cuộc gọi hỏi đáp</t>
  </si>
  <si>
    <t>Ta tin rằng trợ lý trả lời câu hỏi thuế chung sẽ giúp văn phòng bớt cuộc gọi hỏi đáp từ doanh nghiệp khách hàng</t>
  </si>
  <si>
    <t>Số cuộc gọi hỏi đáp/tháng của văn phòng giảm ≥ 30%; câu trả lời sai quy định = 0 trên ≥ 200 câu hỏi do chị Hạnh chấm</t>
  </si>
  <si>
    <t>Không làm</t>
  </si>
  <si>
    <t>Hạng 8: ngoài 'việc' của sản phẩm (1 hóa đơn), chatbot miễn phí đã làm được (rủi ro bị nuốt 0,9), sai quy định thuế thì văn phòng chịu trách nhiệm; không có bộ đề và giờ chuyên gia để chấm</t>
  </si>
  <si>
    <t>Kiểm chứng doanh thu: mở rộng lên ≥ 10 văn phòng trả phí</t>
  </si>
  <si>
    <t>Biết doanh thu bình quân có giữ được ≥ 3,71 triệu/văn phòng không</t>
  </si>
  <si>
    <t>Ta tin rằng văn phòng kế toán dịch vụ cỡ 40 doanh nghiệp sẽ trả ≥ 3,71 triệu/tháng vì SổSạch giảm giờ nhập liệu; cần ≥ 10 văn phòng mới đo được biến nguy hiểm nhất (65% doanh thu từ 30% văn phòng dùng nhiều)</t>
  </si>
  <si>
    <t>≥ 10 văn phòng ký trả phí trước ngày 90; doanh thu bình quân ≥ 3,71 triệu/văn phòng trong 2 tháng liên tiếp; ≥ 3 văn phòng dùng nhiều (≥ 1.760 hóa đơn/tháng) ở lại</t>
  </si>
  <si>
    <t>Thêm việc: kiểm chứng biến nguy hiểm nhất. Thử nghiệm hiện chỉ 1 văn phòng nên chưa đo được điều kiện dừng của đề (≥ 10 văn phòng); kịch bản xấu hết tiền tháng 7 → phải bắt đầu trong Bây giờ dù hạng 6</t>
  </si>
  <si>
    <t>Mở rộng bộ đề 40 → 100 ca và giám sát hóa đơn thật</t>
  </si>
  <si>
    <t>Có bằng chứng đủ cỡ mẫu để lên Mức 1, Mức 2</t>
  </si>
  <si>
    <t>Ta tin rằng mở rộng bộ đề lên 100 ca (giữ tỷ lệ 4 tầng) và đếm lỗi trên hóa đơn thật sẽ cho đủ bằng chứng để giảm duyệt từ 100% xuống 20% rồi 10% mà không tăng lỗi</t>
  </si>
  <si>
    <t>Bộ đề 100 ca, kappa ≥ 0,8; đạt ≥ 97% quy về thực tế; bảng giám sát đếm lỗi mã số thuế/tiền và cờ thừa hằng tuần trên ≥ 3.000 hóa đơn/tháng</t>
  </si>
  <si>
    <t>Thêm việc: cổng Mức 1–2 cần cỡ mẫu lớn hơn 40 ca (0 lỗi/40 ca chỉ chứng minh lỗi &lt; 7,5%). 60 ca thêm ≈ 13 giờ chuyên gia (8,5 giờ/40 ca) → chị Hạnh 3 giờ/thứ Bảy + anh Tùng ≈ 3 tuần</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</si>
  <si>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</si>
  <si>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</si>
  <si>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</si>
  <si>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</si>
  <si>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</si>
  <si>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</si>
  <si>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</si>
  <si>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</si>
  <si>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</si>
  <si>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</si>
  <si>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</si>
  <si>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</si>
  <si>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</si>
  <si>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</si>
  <si>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</si>
  <si>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</si>
  <si>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AI đọc hóa đơn (tệp gốc + ảnh), điền sẵn mọi trường, tra cứu mã số thuế, gắn cờ; chưa nhập vào phần mềm kế toán</t>
  </si>
  <si>
    <t>Kế toán viên của công ty duyệt 100% hóa đơn rồi bấm nhập; ghi lại từng lỗi và cờ thừa</t>
  </si>
  <si>
    <t>— (mức khởi đầu; bản 2 đã qua cổng phát hành: đạt 97,3% trên 40 ca, 0 lỗi nghiêm trọng, kappa 0,90)</t>
  </si>
  <si>
    <t>Tích hợp phần mềm kế toán + dịch vụ tra cứu mã số thuế; thỏa thuận xử lý dữ liệu với văn phòng (Luật BVDLCN 91/2025/QH15); thông báo có dùng AI (Luật AI 134/2025/QH15)</t>
  </si>
  <si>
    <t>Tuần 1–4 (T1)</t>
  </si>
  <si>
    <t>Người của mình</t>
  </si>
  <si>
    <t>Hỗ trợ có duyệt</t>
  </si>
  <si>
    <t>AI tự nhập nháp các hóa đơn không bị cờ; mọi hóa đơn lệch mã số thuế/tiền, ảnh mờ, ngoài phạm vi bị gắn cờ</t>
  </si>
  <si>
    <t>Kế toán viên công ty duyệt mọi hóa đơn gắn cờ + mẫu ngẫu nhiên 10% (≈ 20%); chị Hạnh kiểm thêm 1% mỗi tuần</t>
  </si>
  <si>
    <t>0 lỗi mã số thuế/tiền trên ≥ 1.000 hóa đơn thật đã duyệt 100% ở Mức 0 (giới hạn trên 3/1.000 = 0,3%); tỷ lệ gắn cờ ≤ 20%; 100% ca tầng Nguy hiểm bị cờ; chị Hạnh xác nhận</t>
  </si>
  <si>
    <t>Bảng giám sát lỗi + cờ thừa hằng tuần; nhật ký từng hóa đơn để truy vết; quy trình lùi về Mức 0 trong 1 ngày</t>
  </si>
  <si>
    <t>T2–T3 (sau cổng ngày 60)</t>
  </si>
  <si>
    <t>Tự động một phần</t>
  </si>
  <si>
    <t>AI tự nhập chính thức hóa đơn không cờ khi mã số thuế khớp tra cứu và tổng tiền khớp từng dòng</t>
  </si>
  <si>
    <t>Kế toán viên công ty duyệt hóa đơn gắn cờ + mẫu 5% (≈ 10%); xử lý khiếu nại của văn phòng</t>
  </si>
  <si>
    <t>0 lỗi mã số thuế/tiền trên ≥ 3.000 hóa đơn tự nhập liên tiếp (3/3.000 = 0,1%); đạt ≥ 97% trên bộ đề 100 ca, 0 tầng tụt; cờ ≤ 12%; chị Hạnh + anh Tùng xác nhận</t>
  </si>
  <si>
    <t>Bộ đề 100 ca; phân loại rủi ro theo Luật AI trước khi lên Mức 2; điều khoản trách nhiệm khi nhập sai trong hợp đồng với văn phòng</t>
  </si>
  <si>
    <t>T4–T6</t>
  </si>
  <si>
    <t>Tự động có giám sát</t>
  </si>
  <si>
    <t>AI tự nhập toàn bộ hóa đơn trong phạm vi; tự chuyển người hóa đơn ngoài phạm vi (≈ 3%)</t>
  </si>
  <si>
    <t>Theo dõi bảng giám sát, kiểm mẫu 2% + ca ngoại lệ; xem lại khi đổi mô hình</t>
  </si>
  <si>
    <t>0 lỗi mã số thuế/tiền trên ≥ 10.000 hóa đơn ở ≥ 3 văn phòng (3/10.000 = 0,03%); cờ ≤ 8%; ≤ 1 khiếu nại/văn phòng/tháng</t>
  </si>
  <si>
    <t>Giám sát trôi chất lượng theo văn phòng; chạy lại bộ đề mỗi lần đổi mô hình; lưu vết đủ cho kiểm toán</t>
  </si>
  <si>
    <t>T7–T12 (chỉ khi Mức 2 giữ 0 lỗi 3 tháng)</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</si>
  <si>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</si>
  <si>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</si>
  <si>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</si>
  <si>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</si>
  <si>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</si>
  <si>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</si>
  <si>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</si>
  <si>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</si>
  <si>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</si>
  <si>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</si>
  <si>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</si>
  <si>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</si>
  <si>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</si>
  <si>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</si>
  <si>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</si>
  <si>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</si>
  <si>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</si>
  <si>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</si>
  <si>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</si>
  <si>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</si>
  <si>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</si>
  <si>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</si>
  <si>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</si>
  <si>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</si>
  <si>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</si>
  <si>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</si>
  <si>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</si>
  <si>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</si>
  <si>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</si>
  <si>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Đối chiếu mã số thuế (hạng 1) + gắn cờ hóa đơn (hạng 2) + vận hành bản 2 đọc ảnh (hạng 5) + bộ đề 100 ca (hạng 4) + ký ≥ 10 văn phòng (hạng 6). Hóa đơn điện tử: dùng tính năng sẵn có</t>
  </si>
  <si>
    <t>Tự động một phần: tự nhập hóa đơn không cờ; mở rộng 10 → 20 văn phòng; xin đồng ý và bắt đầu thu dữ liệu hạch toán</t>
  </si>
  <si>
    <t>Tự động có giám sát cho hóa đơn trong phạm vi; thử gợi ý tài khoản hạch toán (hạng 7) nếu có ≥ 2.000 bút toán. Không làm hỏi đáp thuế: rủi ro bị nuốt 0,9</t>
  </si>
  <si>
    <t>Giả thuyết</t>
  </si>
  <si>
    <t>Đối chiếu + gắn cờ đúng giúp kế toán chỉ xem ~20% hóa đơn mà 0 lỗi mã số thuế/tiền; văn phòng thấy rõ lợi ích nên trả ≥ 3,71 triệu/tháng</t>
  </si>
  <si>
    <t>Giảm duyệt xuống 10% vẫn giữ 0 lỗi thì biên gộp ~74% và văn phòng dùng nhiều ở lại</t>
  </si>
  <si>
    <t>Gợi ý tài khoản từ lịch sử hạch toán giảm 30% thời gian hạch toán</t>
  </si>
  <si>
    <t>Cờ ≤ 20%; 0 lỗi mã số thuế/tiền trên ≥ 1.000 hóa đơn; giờ nhập hóa đơn ảnh giảm ≥ 50%; ≥ 10 văn phòng ký trước ngày 90</t>
  </si>
  <si>
    <t>0 lỗi trên ≥ 3.000 hóa đơn tự nhập; cờ ≤ 12%; doanh thu bình quân ≥ 3,71 triệu/văn phòng trên ≥ 10 văn phòng; giữ ≥ 90% văn phòng</t>
  </si>
  <si>
    <t>Gợi ý đúng ≥ 85% trên ≥ 2.000 bút toán; thời gian hạch toán giảm ≥ 30%</t>
  </si>
  <si>
    <t>Mức tự động (trang 2)</t>
  </si>
  <si>
    <t>Mức 0 (duyệt 100%, tối đa 4 tuần) → Mức 1 (duyệt 20%)</t>
  </si>
  <si>
    <t>Mức 2 (duyệt 10%)</t>
  </si>
  <si>
    <t>Mức 3 (duyệt 5%) cho hóa đơn; gợi ý tài khoản bắt đầu ở Mức 0</t>
  </si>
  <si>
    <t>Cổng đánh giá</t>
  </si>
  <si>
    <t>Lên Mức 1: 0 lỗi mã số thuế/tiền trên ≥ 1.000 hóa đơn thật (giới hạn 0,3%), cờ ≤ 20%, 100% ca Nguy hiểm bị cờ; chị Hạnh xác nhận</t>
  </si>
  <si>
    <t>Lên Mức 2: 0 lỗi trên ≥ 3.000 hóa đơn (0,1%); ≥ 97% trên bộ đề 100 ca, 0 tầng tụt; chị Hạnh + anh Tùng xác nhận</t>
  </si>
  <si>
    <t>Lên Mức 3: 0 lỗi trên ≥ 10.000 hóa đơn ở ≥ 3 văn phòng (0,03%); bộ đề riêng cho gợi ý tài khoản</t>
  </si>
  <si>
    <t>Điều kiện cần: dữ liệu / hạ tầng / tuân thủ</t>
  </si>
  <si>
    <t>Dữ liệu: hóa đơn thật của 40 doanh nghiệp, thỏa thuận xử lý dữ liệu (Luật BVDLCN 91/2025). Hạ tầng: tích hợp phần mềm kế toán + tra cứu mã số thuế, nhật ký, bảng giám sát. Tuân thủ: thông báo dùng AI (Luật AI 134/2025). Chuyên gia: chị Hạnh 3 giờ/thứ Bảy + anh Tùng, 60 ca thêm ≈ 13 giờ</t>
  </si>
  <si>
    <t>Bộ đề 100 ca; phân loại rủi ro theo Luật AI trước Mức 2; điều khoản trách nhiệm khi nhập sai; đồng ý thu dữ liệu hạch toán</t>
  </si>
  <si>
    <t>≥ 2.000 bút toán có đồng ý; lưu vết đủ cho kiểm toán; chạy lại bộ đề mỗi lần đổi mô hình</t>
  </si>
  <si>
    <t>Căn cứ kinh tế (số liệu của đề và trang 2)</t>
  </si>
  <si>
    <t>Doanh thu ≈ 2.256 đ/hóa đơn (3,97 triệu ÷ 1.760). Chi phí: Mức 0 = 1.704 đ (biên 24,5%, dưới ngưỡng 60%) → Mức 1 = 704 đ (biên 68,8%). Kịch bản xấu hết tiền tháng 7 → Mức 0 tối đa 4 tuần, lên Mức 1 trước ngày 60</t>
  </si>
  <si>
    <t>Mức 2 = 579 đ/hóa đơn, biên 74,3%; 65% doanh thu từ 30% văn phòng dùng nhiều → theo dõi riêng nhóm này</t>
  </si>
  <si>
    <t>Mức 3 = 517 đ/hóa đơn, biên 77,1%; chỉ làm gợi ý tài khoản nếu tầng Tiếp theo giữ biên ≥ 60%</t>
  </si>
  <si>
    <t>Điều kiện dừng / đổi hướng</t>
  </si>
  <si>
    <t>NẾU có ≥ 1 lỗi mã số thuế/tiền lọt vào phần mềm kế toán HOẶC cờ &gt; 30% trong 2 tuần liên tiếp (~6.000 hóa đơn) VÀO rà soát hằng tuần THÌ lùi về Mức 0; NẾU đến ngày 90 chưa ký đủ 10 văn phòng THÌ dừng mở rộng, xem lại giá</t>
  </si>
  <si>
    <t>NẾU doanh thu bình quân &lt; 3,71 triệu/văn phòng 2 tháng liên tiếp trên ≥ 10 văn phòng THÌ dừng mở rộng; NẾU có 1 lỗi lọt THÌ lùi Mức 1</t>
  </si>
  <si>
    <t>NẾU phần mềm kế toán ra tính năng gợi ý tài khoản miễn phí THÌ bỏ việc này; NẾU biên &lt; 60% 2 tháng THÌ lùi Mức 2</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</si>
  <si>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</si>
  <si>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</si>
  <si>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</si>
  <si>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</si>
  <si>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</si>
  <si>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</si>
  <si>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</si>
  <si>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Tỷ lệ gắn cờ và cờ thừa; số lỗi mã số thuế/tiền (duyệt 100% + chị Hạnh kiểm 1%); giờ nhập hóa đơn ảnh so với trước; số văn phòng đang đàm phán</t>
  </si>
  <si>
    <t>Đi tiếp / Sửa (ngưỡng gắn cờ, hướng dẫn chụp ảnh)</t>
  </si>
  <si>
    <t>Quản lý sản phẩm + chị Hạnh</t>
  </si>
  <si>
    <t>Ngày 60</t>
  </si>
  <si>
    <t>Cổng Mức 0 → 1: 0 lỗi trên ≥ 1.000 hóa đơn, cờ ≤ 20%; chi phí thật/hóa đơn so với 704 đ; số văn phòng đã ký</t>
  </si>
  <si>
    <t>Đi tiếp (lên Mức 1) / Sửa (giữ Mức 0, tối đa thêm 2 tuần)</t>
  </si>
  <si>
    <t>Quản lý sản phẩm + trưởng nhóm kỹ thuật + chị Hạnh</t>
  </si>
  <si>
    <t>Ngày 90</t>
  </si>
  <si>
    <t>Số văn phòng trả phí (cần ≥ 10); doanh thu bình quân tháng đầu so với 3,71 triệu; biên gộp Mức 1 ≥ 60%; tỷ lệ doanh thu từ văn phòng dùng nhiều. Chưa dùng giá trị vòng đời</t>
  </si>
  <si>
    <t>Đi tiếp (mở rộng, chuẩn bị Mức 2) / Đổi hướng (gói giá) / Dừng mở rộng</t>
  </si>
  <si>
    <t>Ban lãnh đạo</t>
  </si>
  <si>
    <t>Có mô hình mới / giá gọi AI giảm mạnh</t>
  </si>
  <si>
    <t>Chạy lại bộ đề 100 ca với mô hình mới; tính lại chi phí gọi AI/hóa đơn (hiện 254 đ)</t>
  </si>
  <si>
    <t>Đổi mô hình? Giữ giá, tăng biên? Lên Mức 2 sớm hơn nếu đạt cổng?</t>
  </si>
  <si>
    <t>Quản lý sản phẩm + trưởng nhóm kỹ thuật</t>
  </si>
  <si>
    <t>Nền tảng hoặc đối thủ ra tính năng tương tự</t>
  </si>
  <si>
    <t>Phần mềm kế toán/đối thủ có thêm đọc ảnh, đối chiếu mã số thuế hay gợi ý tài khoản không; tỷ lệ văn phòng rời đi</t>
  </si>
  <si>
    <t>Bỏ việc bị nuốt, dồn lực vào gắn cờ + đối chiếu và dữ liệu riêng của văn phòng</t>
  </si>
  <si>
    <t>Quy định pháp lý thay đổi</t>
  </si>
  <si>
    <t>Mức rủi ro của hệ thống theo Luật AI 134/2025; quy định hóa đơn điện tử; Luật BVDLCN 91/2025</t>
  </si>
  <si>
    <t>Thêm biện pháp kiểm soát, lùi mức tự động hoặc cập nhật hợp đồng</t>
  </si>
  <si>
    <t>Quản lý sản phẩm + pháp chế</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</si>
  <si>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</si>
  <si>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</si>
  <si>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</si>
  <si>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</si>
  <si>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</si>
  <si>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</si>
  <si>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Triển khai bản 2 tại văn phòng thử nghiệm, lên Mức 1 (kế toán duyệt 20%, biên 68,8%) trước ngày 60 và ký ≥ 10 văn phòng trước ngày 90 để kiểm chứng doanh thu ≥ 3,71 triệu/văn phòng.</t>
  </si>
  <si>
    <t>3 việc chính</t>
  </si>
  <si>
    <t>Bây giờ: đối chiếu mã số thuế + gắn cờ hóa đơn cần xem + vận hành đọc ảnh bản 2 · Tiếp theo: Mức 2 tự nhập hóa đơn không cờ (duyệt 10%) · Sau này: gợi ý tài khoản hạch toán khi đủ dữ liệu</t>
  </si>
  <si>
    <t>Cần gì (người, tiền, dữ liệu)</t>
  </si>
  <si>
    <t>Chị Hạnh 3 giờ/thứ Bảy + anh Tùng (60 ca bộ đề ≈ 13 giờ); kế toán viên công ty duyệt 20% (704 đ/hóa đơn); dịch vụ tra cứu mã số thuế; thỏa thuận dữ liệu với văn phòng</t>
  </si>
  <si>
    <t>Rủi ro lớn nhất &amp; cách xử lý</t>
  </si>
  <si>
    <t>65% doanh thu từ 30% văn phòng dùng nhiều, kịch bản xấu hết tiền tháng 7 → ký ≥ 10 văn phòng trước ngày 90. Một lỗi mã số thuế/tiền lọt → lùi Mức 0 ngay.</t>
  </si>
  <si>
    <t>Khi nào xem lại</t>
  </si>
  <si>
    <t>Hằng tuần (lỗi, cờ); ngày 30/60/90; dừng mở rộng nếu doanh thu &lt; 3,71 triệu/văn phòng 2 tháng liên tiếp trên ≥ 10 văn phòng; khi có mô hình mới hoặc đối thủ ra tính năng tương tự.</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</si>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</sst>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164"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164" fontId="5" fillId="2" borderId="0" xfId="0" applyNumberFormat="1" applyFont="1" applyFill="1" applyProtection="1">
      <protection locked="0"/>
    </xf>
    <xf numFmtId="0" fontId="6" fillId="0" borderId="0" xfId="0" applyFont="1"/>
    <xf numFmtId="165"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6640625" defaultRowHeight="14.4" x14ac:dyDescent="0.3"/>
  <cols>
    <col min="1" max="1" width="120" customWidth="1"/>
  </cols>
  <sheetData>
    <row r="1" spans="1:1" ht="17.25" customHeight="1" x14ac:dyDescent="0.3">
      <c r="A1" s="1" t="s">
        <v>0</v>
      </c>
    </row>
    <row r="2" spans="1:1" ht="15" customHeight="1" x14ac:dyDescent="0.3">
      <c r="A2" s="2" t="s">
        <v>1</v>
      </c>
    </row>
    <row r="4" spans="1:1" ht="15" customHeight="1" x14ac:dyDescent="0.3">
      <c r="A4" t="s">
        <v>2</v>
      </c>
    </row>
    <row r="5" spans="1:1" ht="15" customHeight="1" x14ac:dyDescent="0.3">
      <c r="A5" t="s">
        <v>3</v>
      </c>
    </row>
    <row r="6" spans="1:1" ht="15" customHeight="1" x14ac:dyDescent="0.3">
      <c r="A6" t="s">
        <v>4</v>
      </c>
    </row>
    <row r="7" spans="1:1" ht="15" customHeight="1" x14ac:dyDescent="0.3">
      <c r="A7" t="s">
        <v>5</v>
      </c>
    </row>
    <row r="8" spans="1:1" ht="15" customHeight="1" x14ac:dyDescent="0.3">
      <c r="A8" t="s">
        <v>6</v>
      </c>
    </row>
    <row r="9" spans="1:1" ht="15" customHeight="1" x14ac:dyDescent="0.3">
      <c r="A9" t="s">
        <v>7</v>
      </c>
    </row>
    <row r="11" spans="1:1" ht="15" customHeight="1" x14ac:dyDescent="0.3">
      <c r="A11" t="s">
        <v>8</v>
      </c>
    </row>
    <row r="12" spans="1:1" ht="15" customHeight="1" x14ac:dyDescent="0.3">
      <c r="A12" s="3" t="s">
        <v>9</v>
      </c>
    </row>
    <row r="13" spans="1:1" ht="15" customHeight="1" x14ac:dyDescent="0.3">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11</v>
      </c>
    </row>
    <row r="2" spans="1:5" ht="15" customHeight="1" x14ac:dyDescent="0.3">
      <c r="A2" s="2" t="s">
        <v>12</v>
      </c>
    </row>
    <row r="4" spans="1:5" ht="26.25" customHeight="1" x14ac:dyDescent="0.3">
      <c r="A4" s="5" t="s">
        <v>13</v>
      </c>
      <c r="B4" s="5" t="s">
        <v>14</v>
      </c>
      <c r="C4" s="5" t="s">
        <v>15</v>
      </c>
      <c r="D4" s="5" t="s">
        <v>16</v>
      </c>
      <c r="E4" s="5" t="s">
        <v>17</v>
      </c>
    </row>
    <row r="5" spans="1:5" ht="33.75" customHeight="1" x14ac:dyDescent="0.3">
      <c r="A5" s="6" t="s">
        <v>18</v>
      </c>
      <c r="B5" s="7" t="s">
        <v>19</v>
      </c>
      <c r="C5" s="6" t="s">
        <v>20</v>
      </c>
      <c r="D5" s="6" t="s">
        <v>21</v>
      </c>
      <c r="E5" s="7" t="s">
        <v>22</v>
      </c>
    </row>
    <row r="6" spans="1:5" ht="33.75" customHeight="1" x14ac:dyDescent="0.3">
      <c r="A6" s="6" t="s">
        <v>23</v>
      </c>
      <c r="B6" s="7" t="s">
        <v>19</v>
      </c>
      <c r="C6" s="6" t="s">
        <v>24</v>
      </c>
      <c r="D6" s="6" t="s">
        <v>25</v>
      </c>
      <c r="E6" s="7" t="s">
        <v>26</v>
      </c>
    </row>
    <row r="7" spans="1:5" ht="33.75" customHeight="1" x14ac:dyDescent="0.3">
      <c r="A7" s="6" t="s">
        <v>27</v>
      </c>
      <c r="B7" s="7" t="s">
        <v>19</v>
      </c>
      <c r="C7" s="6" t="s">
        <v>28</v>
      </c>
      <c r="D7" s="6" t="s">
        <v>29</v>
      </c>
      <c r="E7" s="7" t="s">
        <v>30</v>
      </c>
    </row>
    <row r="8" spans="1:5" ht="33.75" customHeight="1" x14ac:dyDescent="0.3">
      <c r="A8" s="6" t="s">
        <v>31</v>
      </c>
      <c r="B8" s="7" t="s">
        <v>19</v>
      </c>
      <c r="C8" s="6" t="s">
        <v>32</v>
      </c>
      <c r="D8" s="6" t="s">
        <v>33</v>
      </c>
      <c r="E8" s="7" t="s">
        <v>34</v>
      </c>
    </row>
    <row r="9" spans="1:5" ht="33.75" customHeight="1" x14ac:dyDescent="0.3">
      <c r="A9" s="6" t="s">
        <v>35</v>
      </c>
      <c r="B9" s="7" t="s">
        <v>19</v>
      </c>
      <c r="C9" s="6" t="s">
        <v>36</v>
      </c>
      <c r="D9" s="6" t="s">
        <v>37</v>
      </c>
      <c r="E9" s="7" t="s">
        <v>38</v>
      </c>
    </row>
    <row r="10" spans="1:5" ht="33.75" customHeight="1" x14ac:dyDescent="0.3">
      <c r="A10" s="6" t="s">
        <v>39</v>
      </c>
      <c r="B10" s="7" t="s">
        <v>19</v>
      </c>
      <c r="C10" s="6" t="s">
        <v>40</v>
      </c>
      <c r="D10" s="6" t="s">
        <v>41</v>
      </c>
      <c r="E10" s="7" t="s">
        <v>42</v>
      </c>
    </row>
    <row r="12" spans="1:5" ht="15" customHeight="1" x14ac:dyDescent="0.3">
      <c r="A12" s="8" t="s">
        <v>43</v>
      </c>
      <c r="B12" s="4">
        <f>COUNTIF(B5:B10,"Có")</f>
        <v>6</v>
      </c>
    </row>
    <row r="13" spans="1:5" ht="15" customHeight="1" x14ac:dyDescent="0.3">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6640625" defaultRowHeight="14.4" x14ac:dyDescent="0.3"/>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3">
      <c r="A1" s="1" t="s">
        <v>45</v>
      </c>
    </row>
    <row r="2" spans="1:17" ht="15" customHeight="1" x14ac:dyDescent="0.3">
      <c r="A2" s="2" t="s">
        <v>46</v>
      </c>
    </row>
    <row r="4" spans="1:17" ht="39" customHeight="1" x14ac:dyDescent="0.3">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34.5" customHeight="1" x14ac:dyDescent="0.3">
      <c r="A5" s="10">
        <v>1</v>
      </c>
      <c r="B5" s="7" t="s">
        <v>64</v>
      </c>
      <c r="C5" s="7" t="s">
        <v>65</v>
      </c>
      <c r="D5" s="7" t="s">
        <v>66</v>
      </c>
      <c r="E5" s="7" t="s">
        <v>67</v>
      </c>
      <c r="F5" s="7">
        <v>3</v>
      </c>
      <c r="G5" s="7">
        <v>5</v>
      </c>
      <c r="H5" s="7">
        <v>1</v>
      </c>
      <c r="I5" s="7">
        <v>2</v>
      </c>
      <c r="J5" s="7">
        <v>0.8</v>
      </c>
      <c r="K5" s="7">
        <v>0.9</v>
      </c>
      <c r="L5" s="7">
        <v>0.5</v>
      </c>
      <c r="M5" s="11">
        <f t="shared" ref="M5:M14" si="0">IF(COUNT(F5:L5)&lt;7,"",ROUND(F5*G5*H5/I5*(0.5+0.5*AVERAGE(J5:K5))*(1-0.5*L5),2))</f>
        <v>5.2</v>
      </c>
      <c r="N5" s="11">
        <f t="shared" ref="N5:N14" si="1">IF(M5="","",RANK(M5,$M$5:$M$14))</f>
        <v>5</v>
      </c>
      <c r="O5" s="12" t="str">
        <f>IF(B5="","",IF(OR(D5="",E5=""),"Thiếu",IF(SUMPRODUCT(--ISNUMBER(SEARCH({"0","1","2","3","4","5","6","7","8","9"},E5)))&gt;0,"Có","Thiếu")))</f>
        <v>Có</v>
      </c>
      <c r="P5" s="13" t="s">
        <v>68</v>
      </c>
      <c r="Q5" s="13" t="s">
        <v>69</v>
      </c>
    </row>
    <row r="6" spans="1:17" ht="23.25" customHeight="1" x14ac:dyDescent="0.3">
      <c r="A6" s="10">
        <v>2</v>
      </c>
      <c r="B6" s="7" t="s">
        <v>70</v>
      </c>
      <c r="C6" s="7" t="s">
        <v>71</v>
      </c>
      <c r="D6" s="7" t="s">
        <v>72</v>
      </c>
      <c r="E6" s="7" t="s">
        <v>73</v>
      </c>
      <c r="F6" s="7">
        <v>5</v>
      </c>
      <c r="G6" s="7">
        <v>5</v>
      </c>
      <c r="H6" s="7">
        <v>0.8</v>
      </c>
      <c r="I6" s="7">
        <v>2</v>
      </c>
      <c r="J6" s="7">
        <v>0.8</v>
      </c>
      <c r="K6" s="7">
        <v>0.8</v>
      </c>
      <c r="L6" s="7">
        <v>0.2</v>
      </c>
      <c r="M6" s="11">
        <f t="shared" si="0"/>
        <v>8.1</v>
      </c>
      <c r="N6" s="11">
        <f t="shared" si="1"/>
        <v>2</v>
      </c>
      <c r="O6" s="12" t="str">
        <f>IF(B6="","",IF(OR(D6="",E6=""),"Thiếu",IF(SUMPRODUCT(--ISNUMBER(SEARCH({"0","1","2","3","4","5","6","7","8","9"},E6)))&gt;0,"Có","Thiếu")))</f>
        <v>Có</v>
      </c>
      <c r="P6" s="13" t="s">
        <v>68</v>
      </c>
      <c r="Q6" s="13" t="s">
        <v>74</v>
      </c>
    </row>
    <row r="7" spans="1:17" ht="23.25" customHeight="1" x14ac:dyDescent="0.3">
      <c r="A7" s="10">
        <v>3</v>
      </c>
      <c r="B7" s="7" t="s">
        <v>75</v>
      </c>
      <c r="C7" s="7" t="s">
        <v>76</v>
      </c>
      <c r="D7" s="7" t="s">
        <v>77</v>
      </c>
      <c r="E7" s="7" t="s">
        <v>78</v>
      </c>
      <c r="F7" s="7">
        <v>5</v>
      </c>
      <c r="G7" s="7">
        <v>3</v>
      </c>
      <c r="H7" s="7">
        <v>0.8</v>
      </c>
      <c r="I7" s="7">
        <v>1</v>
      </c>
      <c r="J7" s="7">
        <v>1</v>
      </c>
      <c r="K7" s="7">
        <v>0.8</v>
      </c>
      <c r="L7" s="7">
        <v>0.9</v>
      </c>
      <c r="M7" s="11">
        <f t="shared" si="0"/>
        <v>6.27</v>
      </c>
      <c r="N7" s="11">
        <f t="shared" si="1"/>
        <v>3</v>
      </c>
      <c r="O7" s="12" t="str">
        <f>IF(B7="","",IF(OR(D7="",E7=""),"Thiếu",IF(SUMPRODUCT(--ISNUMBER(SEARCH({"0","1","2","3","4","5","6","7","8","9"},E7)))&gt;0,"Có","Thiếu")))</f>
        <v>Có</v>
      </c>
      <c r="P7" s="13" t="s">
        <v>79</v>
      </c>
      <c r="Q7" s="13" t="s">
        <v>80</v>
      </c>
    </row>
    <row r="8" spans="1:17" ht="23.25" customHeight="1" x14ac:dyDescent="0.3">
      <c r="A8" s="10">
        <v>4</v>
      </c>
      <c r="B8" s="7" t="s">
        <v>81</v>
      </c>
      <c r="C8" s="7" t="s">
        <v>82</v>
      </c>
      <c r="D8" s="7" t="s">
        <v>83</v>
      </c>
      <c r="E8" s="7" t="s">
        <v>84</v>
      </c>
      <c r="F8" s="7">
        <v>5</v>
      </c>
      <c r="G8" s="7">
        <v>4</v>
      </c>
      <c r="H8" s="7">
        <v>1</v>
      </c>
      <c r="I8" s="7">
        <v>1</v>
      </c>
      <c r="J8" s="7">
        <v>0.9</v>
      </c>
      <c r="K8" s="7">
        <v>0.9</v>
      </c>
      <c r="L8" s="7">
        <v>0.5</v>
      </c>
      <c r="M8" s="11">
        <f t="shared" si="0"/>
        <v>14.25</v>
      </c>
      <c r="N8" s="11">
        <f t="shared" si="1"/>
        <v>1</v>
      </c>
      <c r="O8" s="12" t="str">
        <f>IF(B8="","",IF(OR(D8="",E8=""),"Thiếu",IF(SUMPRODUCT(--ISNUMBER(SEARCH({"0","1","2","3","4","5","6","7","8","9"},E8)))&gt;0,"Có","Thiếu")))</f>
        <v>Có</v>
      </c>
      <c r="P8" s="13" t="s">
        <v>79</v>
      </c>
      <c r="Q8" s="13" t="s">
        <v>85</v>
      </c>
    </row>
    <row r="9" spans="1:17" ht="23.25" customHeight="1" x14ac:dyDescent="0.3">
      <c r="A9" s="10">
        <v>5</v>
      </c>
      <c r="B9" s="7" t="s">
        <v>86</v>
      </c>
      <c r="C9" s="7" t="s">
        <v>87</v>
      </c>
      <c r="D9" s="7" t="s">
        <v>88</v>
      </c>
      <c r="E9" s="7" t="s">
        <v>89</v>
      </c>
      <c r="F9" s="7">
        <v>4</v>
      </c>
      <c r="G9" s="7">
        <v>4</v>
      </c>
      <c r="H9" s="7">
        <v>0.5</v>
      </c>
      <c r="I9" s="7">
        <v>4</v>
      </c>
      <c r="J9" s="7">
        <v>0.2</v>
      </c>
      <c r="K9" s="7">
        <v>0.3</v>
      </c>
      <c r="L9" s="7">
        <v>0.5</v>
      </c>
      <c r="M9" s="11">
        <f t="shared" si="0"/>
        <v>0.94</v>
      </c>
      <c r="N9" s="11">
        <f t="shared" si="1"/>
        <v>7</v>
      </c>
      <c r="O9" s="12" t="str">
        <f>IF(B9="","",IF(OR(D9="",E9=""),"Thiếu",IF(SUMPRODUCT(--ISNUMBER(SEARCH({"0","1","2","3","4","5","6","7","8","9"},E9)))&gt;0,"Có","Thiếu")))</f>
        <v>Có</v>
      </c>
      <c r="P9" s="13" t="s">
        <v>90</v>
      </c>
      <c r="Q9" s="13" t="s">
        <v>91</v>
      </c>
    </row>
    <row r="10" spans="1:17" ht="23.25" customHeight="1" x14ac:dyDescent="0.3">
      <c r="A10" s="10">
        <v>6</v>
      </c>
      <c r="B10" s="7" t="s">
        <v>92</v>
      </c>
      <c r="C10" s="7" t="s">
        <v>93</v>
      </c>
      <c r="D10" s="7" t="s">
        <v>94</v>
      </c>
      <c r="E10" s="7" t="s">
        <v>95</v>
      </c>
      <c r="F10" s="7">
        <v>2</v>
      </c>
      <c r="G10" s="7">
        <v>2</v>
      </c>
      <c r="H10" s="7">
        <v>0.5</v>
      </c>
      <c r="I10" s="7">
        <v>3</v>
      </c>
      <c r="J10" s="7">
        <v>0.3</v>
      </c>
      <c r="K10" s="7">
        <v>0.2</v>
      </c>
      <c r="L10" s="7">
        <v>0.9</v>
      </c>
      <c r="M10" s="11">
        <f t="shared" si="0"/>
        <v>0.23</v>
      </c>
      <c r="N10" s="11">
        <f t="shared" si="1"/>
        <v>8</v>
      </c>
      <c r="O10" s="12" t="str">
        <f>IF(B10="","",IF(OR(D10="",E10=""),"Thiếu",IF(SUMPRODUCT(--ISNUMBER(SEARCH({"0","1","2","3","4","5","6","7","8","9"},E10)))&gt;0,"Có","Thiếu")))</f>
        <v>Có</v>
      </c>
      <c r="P10" s="13" t="s">
        <v>96</v>
      </c>
      <c r="Q10" s="13" t="s">
        <v>97</v>
      </c>
    </row>
    <row r="11" spans="1:17" ht="15" customHeight="1" x14ac:dyDescent="0.3">
      <c r="A11" s="10">
        <v>7</v>
      </c>
      <c r="B11" s="7" t="s">
        <v>98</v>
      </c>
      <c r="C11" s="7" t="s">
        <v>99</v>
      </c>
      <c r="D11" s="7" t="s">
        <v>100</v>
      </c>
      <c r="E11" s="7" t="s">
        <v>101</v>
      </c>
      <c r="F11" s="7">
        <v>3</v>
      </c>
      <c r="G11" s="7">
        <v>5</v>
      </c>
      <c r="H11" s="7">
        <v>0.5</v>
      </c>
      <c r="I11" s="7">
        <v>2</v>
      </c>
      <c r="J11" s="7">
        <v>0.7</v>
      </c>
      <c r="K11" s="7">
        <v>0.8</v>
      </c>
      <c r="L11" s="7">
        <v>0.1</v>
      </c>
      <c r="M11" s="11">
        <f t="shared" si="0"/>
        <v>3.12</v>
      </c>
      <c r="N11" s="11">
        <f t="shared" si="1"/>
        <v>6</v>
      </c>
      <c r="O11" s="12" t="str">
        <f>IF(B11="","",IF(OR(D11="",E11=""),"Thiếu",IF(SUMPRODUCT(--ISNUMBER(SEARCH({"0","1","2","3","4","5","6","7","8","9"},E11)))&gt;0,"Có","Thiếu")))</f>
        <v>Có</v>
      </c>
      <c r="P11" s="13" t="s">
        <v>68</v>
      </c>
      <c r="Q11" s="13" t="s">
        <v>102</v>
      </c>
    </row>
    <row r="12" spans="1:17" ht="15" customHeight="1" x14ac:dyDescent="0.3">
      <c r="A12" s="10">
        <v>8</v>
      </c>
      <c r="B12" s="7" t="s">
        <v>103</v>
      </c>
      <c r="C12" s="7" t="s">
        <v>104</v>
      </c>
      <c r="D12" s="7" t="s">
        <v>105</v>
      </c>
      <c r="E12" s="7" t="s">
        <v>106</v>
      </c>
      <c r="F12" s="7">
        <v>4</v>
      </c>
      <c r="G12" s="7">
        <v>4</v>
      </c>
      <c r="H12" s="7">
        <v>0.8</v>
      </c>
      <c r="I12" s="7">
        <v>2</v>
      </c>
      <c r="J12" s="7">
        <v>0.8</v>
      </c>
      <c r="K12" s="7">
        <v>0.7</v>
      </c>
      <c r="L12" s="7">
        <v>0.1</v>
      </c>
      <c r="M12" s="11">
        <f t="shared" si="0"/>
        <v>5.32</v>
      </c>
      <c r="N12" s="11">
        <f t="shared" si="1"/>
        <v>4</v>
      </c>
      <c r="O12" s="12" t="str">
        <f>IF(B12="","",IF(OR(D12="",E12=""),"Thiếu",IF(SUMPRODUCT(--ISNUMBER(SEARCH({"0","1","2","3","4","5","6","7","8","9"},E12)))&gt;0,"Có","Thiếu")))</f>
        <v>Có</v>
      </c>
      <c r="P12" s="13" t="s">
        <v>68</v>
      </c>
      <c r="Q12" s="13" t="s">
        <v>107</v>
      </c>
    </row>
    <row r="13" spans="1:17" ht="15" customHeight="1" x14ac:dyDescent="0.3">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3">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6640625" defaultRowHeight="14.4" x14ac:dyDescent="0.3"/>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3">
      <c r="A1" s="1" t="s">
        <v>108</v>
      </c>
    </row>
    <row r="2" spans="1:13" ht="15" customHeight="1" x14ac:dyDescent="0.3">
      <c r="A2" s="2" t="s">
        <v>109</v>
      </c>
    </row>
    <row r="4" spans="1:13" ht="26.25" customHeight="1" x14ac:dyDescent="0.3">
      <c r="A4" s="9" t="s">
        <v>110</v>
      </c>
      <c r="B4" s="9" t="s">
        <v>111</v>
      </c>
      <c r="C4" s="9" t="s">
        <v>112</v>
      </c>
      <c r="D4" s="9" t="s">
        <v>113</v>
      </c>
      <c r="E4" s="9" t="s">
        <v>114</v>
      </c>
      <c r="F4" s="9" t="s">
        <v>115</v>
      </c>
      <c r="G4" s="9" t="s">
        <v>116</v>
      </c>
      <c r="H4" s="9" t="s">
        <v>117</v>
      </c>
      <c r="I4" s="9" t="s">
        <v>118</v>
      </c>
      <c r="J4" s="9" t="s">
        <v>119</v>
      </c>
      <c r="K4" s="9" t="s">
        <v>120</v>
      </c>
      <c r="L4" s="9" t="s">
        <v>121</v>
      </c>
      <c r="M4" s="9" t="s">
        <v>122</v>
      </c>
    </row>
    <row r="5" spans="1:13" ht="48" customHeight="1" x14ac:dyDescent="0.3">
      <c r="A5" s="10">
        <v>0</v>
      </c>
      <c r="B5" s="7" t="s">
        <v>123</v>
      </c>
      <c r="C5" s="7" t="s">
        <v>124</v>
      </c>
      <c r="D5" s="7" t="s">
        <v>125</v>
      </c>
      <c r="E5" s="7" t="s">
        <v>126</v>
      </c>
      <c r="F5" s="7" t="s">
        <v>127</v>
      </c>
      <c r="G5" s="7" t="s">
        <v>128</v>
      </c>
      <c r="H5" s="14">
        <v>1</v>
      </c>
      <c r="I5" s="13" t="s">
        <v>129</v>
      </c>
      <c r="J5" s="15">
        <f>IF(H5="","",$B$12+$B$13+IF(I5="Người của mình",H5*$B$14*$B$15/60,0))</f>
        <v>1704</v>
      </c>
      <c r="K5" s="16">
        <f>IF(J5="","",IFERROR(($B$16-$B$17*J5)/$B$16,""))</f>
        <v>0.24457430730478588</v>
      </c>
      <c r="L5" s="17" t="str">
        <f>IF(K5="","",IF(K5&gt;=0.6,"Đạt","Dưới ngưỡng"))</f>
        <v>Dưới ngưỡng</v>
      </c>
    </row>
    <row r="6" spans="1:13" ht="48" customHeight="1" x14ac:dyDescent="0.3">
      <c r="A6" s="10">
        <v>1</v>
      </c>
      <c r="B6" s="7" t="s">
        <v>130</v>
      </c>
      <c r="C6" s="7" t="s">
        <v>131</v>
      </c>
      <c r="D6" s="7" t="s">
        <v>132</v>
      </c>
      <c r="E6" s="7" t="s">
        <v>133</v>
      </c>
      <c r="F6" s="7" t="s">
        <v>134</v>
      </c>
      <c r="G6" s="7" t="s">
        <v>135</v>
      </c>
      <c r="H6" s="14">
        <v>0.2</v>
      </c>
      <c r="I6" s="13" t="s">
        <v>129</v>
      </c>
      <c r="J6" s="15">
        <f>IF(H6="","",$B$12+$B$13+IF(I6="Người của mình",H6*$B$14*$B$15/60,0))</f>
        <v>704</v>
      </c>
      <c r="K6" s="16">
        <f>IF(J6="","",IFERROR(($B$16-$B$17*J6)/$B$16,""))</f>
        <v>0.68789924433249372</v>
      </c>
      <c r="L6" s="17" t="str">
        <f>IF(K6="","",IF(K6&gt;=0.6,"Đạt","Dưới ngưỡng"))</f>
        <v>Đạt</v>
      </c>
      <c r="M6" s="17" t="str">
        <f>IF(E6="","",IF(SUMPRODUCT(--ISNUMBER(SEARCH({"0","1","2","3","4","5","6","7","8","9"},E6)))&gt;0,"Có","Thiếu"))</f>
        <v>Có</v>
      </c>
    </row>
    <row r="7" spans="1:13" ht="48" customHeight="1" x14ac:dyDescent="0.3">
      <c r="A7" s="10">
        <v>2</v>
      </c>
      <c r="B7" s="7" t="s">
        <v>136</v>
      </c>
      <c r="C7" s="7" t="s">
        <v>137</v>
      </c>
      <c r="D7" s="7" t="s">
        <v>138</v>
      </c>
      <c r="E7" s="7" t="s">
        <v>139</v>
      </c>
      <c r="F7" s="7" t="s">
        <v>140</v>
      </c>
      <c r="G7" s="7" t="s">
        <v>141</v>
      </c>
      <c r="H7" s="14">
        <v>0.1</v>
      </c>
      <c r="I7" s="13" t="s">
        <v>129</v>
      </c>
      <c r="J7" s="15">
        <f>IF(H7="","",$B$12+$B$13+IF(I7="Người của mình",H7*$B$14*$B$15/60,0))</f>
        <v>579</v>
      </c>
      <c r="K7" s="16">
        <f>IF(J7="","",IFERROR(($B$16-$B$17*J7)/$B$16,""))</f>
        <v>0.74331486146095715</v>
      </c>
      <c r="L7" s="17" t="str">
        <f>IF(K7="","",IF(K7&gt;=0.6,"Đạt","Dưới ngưỡng"))</f>
        <v>Đạt</v>
      </c>
      <c r="M7" s="17" t="str">
        <f>IF(E7="","",IF(SUMPRODUCT(--ISNUMBER(SEARCH({"0","1","2","3","4","5","6","7","8","9"},E7)))&gt;0,"Có","Thiếu"))</f>
        <v>Có</v>
      </c>
    </row>
    <row r="8" spans="1:13" ht="48" customHeight="1" x14ac:dyDescent="0.3">
      <c r="A8" s="10">
        <v>3</v>
      </c>
      <c r="B8" s="7" t="s">
        <v>142</v>
      </c>
      <c r="C8" s="7" t="s">
        <v>143</v>
      </c>
      <c r="D8" s="7" t="s">
        <v>144</v>
      </c>
      <c r="E8" s="7" t="s">
        <v>145</v>
      </c>
      <c r="F8" s="7" t="s">
        <v>146</v>
      </c>
      <c r="G8" s="7" t="s">
        <v>147</v>
      </c>
      <c r="H8" s="14">
        <v>0.05</v>
      </c>
      <c r="I8" s="13" t="s">
        <v>129</v>
      </c>
      <c r="J8" s="15">
        <f>IF(H8="","",$B$12+$B$13+IF(I8="Người của mình",H8*$B$14*$B$15/60,0))</f>
        <v>516.5</v>
      </c>
      <c r="K8" s="16">
        <f>IF(J8="","",IFERROR(($B$16-$B$17*J8)/$B$16,""))</f>
        <v>0.77102267002518887</v>
      </c>
      <c r="L8" s="17" t="str">
        <f>IF(K8="","",IF(K8&gt;=0.6,"Đạt","Dưới ngưỡng"))</f>
        <v>Đạt</v>
      </c>
      <c r="M8" s="17" t="str">
        <f>IF(E8="","",IF(SUMPRODUCT(--ISNUMBER(SEARCH({"0","1","2","3","4","5","6","7","8","9"},E8)))&gt;0,"Có","Thiếu"))</f>
        <v>Có</v>
      </c>
    </row>
    <row r="11" spans="1:13" ht="15" customHeight="1" x14ac:dyDescent="0.3">
      <c r="A11" s="8" t="s">
        <v>148</v>
      </c>
    </row>
    <row r="12" spans="1:13" ht="15" customHeight="1" x14ac:dyDescent="0.3">
      <c r="A12" s="18" t="s">
        <v>149</v>
      </c>
      <c r="B12" s="19">
        <v>254</v>
      </c>
      <c r="C12" s="20" t="s">
        <v>150</v>
      </c>
    </row>
    <row r="13" spans="1:13" ht="15" customHeight="1" x14ac:dyDescent="0.3">
      <c r="A13" s="18" t="s">
        <v>151</v>
      </c>
      <c r="B13" s="19">
        <v>200</v>
      </c>
      <c r="C13" s="20" t="s">
        <v>152</v>
      </c>
    </row>
    <row r="14" spans="1:13" ht="15" customHeight="1" x14ac:dyDescent="0.3">
      <c r="A14" s="18" t="s">
        <v>153</v>
      </c>
      <c r="B14" s="21">
        <v>1.5</v>
      </c>
      <c r="C14" s="20" t="s">
        <v>154</v>
      </c>
    </row>
    <row r="15" spans="1:13" ht="15" customHeight="1" x14ac:dyDescent="0.3">
      <c r="A15" s="18" t="s">
        <v>155</v>
      </c>
      <c r="B15" s="19">
        <v>50000</v>
      </c>
      <c r="C15" s="20" t="s">
        <v>156</v>
      </c>
    </row>
    <row r="16" spans="1:13" ht="15" customHeight="1" x14ac:dyDescent="0.3">
      <c r="A16" s="18" t="s">
        <v>157</v>
      </c>
      <c r="B16" s="19">
        <v>3970000</v>
      </c>
      <c r="C16" s="20" t="s">
        <v>158</v>
      </c>
    </row>
    <row r="17" spans="1:3" ht="15" customHeight="1" x14ac:dyDescent="0.3">
      <c r="A17" s="18" t="s">
        <v>159</v>
      </c>
      <c r="B17" s="19">
        <v>1760</v>
      </c>
      <c r="C17" s="20" t="s">
        <v>160</v>
      </c>
    </row>
    <row r="18" spans="1:3" ht="15" customHeight="1" x14ac:dyDescent="0.3">
      <c r="A18" s="18" t="s">
        <v>161</v>
      </c>
      <c r="B18" s="13" t="s">
        <v>162</v>
      </c>
      <c r="C18" s="20" t="s">
        <v>163</v>
      </c>
    </row>
    <row r="19" spans="1:3" ht="15" customHeight="1" x14ac:dyDescent="0.3">
      <c r="A19" s="18" t="s">
        <v>164</v>
      </c>
      <c r="B19" s="13" t="s">
        <v>165</v>
      </c>
      <c r="C19" s="20" t="s">
        <v>166</v>
      </c>
    </row>
    <row r="20" spans="1:3" ht="15" customHeight="1" x14ac:dyDescent="0.3">
      <c r="A20" s="18" t="s">
        <v>167</v>
      </c>
      <c r="B20" s="22">
        <v>7</v>
      </c>
      <c r="C20" s="20" t="s">
        <v>168</v>
      </c>
    </row>
    <row r="22" spans="1:3" ht="15" customHeight="1" x14ac:dyDescent="0.3">
      <c r="A22" s="20" t="s">
        <v>169</v>
      </c>
    </row>
    <row r="23" spans="1:3" ht="15" customHeight="1" x14ac:dyDescent="0.3">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6640625" defaultRowHeight="14.4" x14ac:dyDescent="0.3"/>
  <cols>
    <col min="1" max="1" width="30" customWidth="1"/>
    <col min="2" max="4" width="42" customWidth="1"/>
  </cols>
  <sheetData>
    <row r="1" spans="1:4" ht="17.25" customHeight="1" x14ac:dyDescent="0.3">
      <c r="A1" s="1" t="s">
        <v>170</v>
      </c>
    </row>
    <row r="2" spans="1:4" ht="15" customHeight="1" x14ac:dyDescent="0.3">
      <c r="A2" s="2" t="s">
        <v>171</v>
      </c>
    </row>
    <row r="4" spans="1:4" ht="15" customHeight="1" x14ac:dyDescent="0.3">
      <c r="A4" s="9" t="s">
        <v>172</v>
      </c>
      <c r="B4" s="9" t="s">
        <v>173</v>
      </c>
      <c r="C4" s="9" t="s">
        <v>174</v>
      </c>
      <c r="D4" s="9" t="s">
        <v>175</v>
      </c>
    </row>
    <row r="5" spans="1:4" ht="48" customHeight="1" x14ac:dyDescent="0.3">
      <c r="A5" s="23" t="s">
        <v>176</v>
      </c>
      <c r="B5" s="7" t="s">
        <v>177</v>
      </c>
      <c r="C5" s="7" t="s">
        <v>178</v>
      </c>
      <c r="D5" s="7" t="s">
        <v>179</v>
      </c>
    </row>
    <row r="6" spans="1:4" ht="48" customHeight="1" x14ac:dyDescent="0.3">
      <c r="A6" s="23" t="s">
        <v>180</v>
      </c>
      <c r="B6" s="7" t="s">
        <v>181</v>
      </c>
      <c r="C6" s="7" t="s">
        <v>182</v>
      </c>
      <c r="D6" s="7" t="s">
        <v>183</v>
      </c>
    </row>
    <row r="7" spans="1:4" ht="48" customHeight="1" x14ac:dyDescent="0.3">
      <c r="A7" s="23" t="s">
        <v>51</v>
      </c>
      <c r="B7" s="7" t="s">
        <v>184</v>
      </c>
      <c r="C7" s="7" t="s">
        <v>185</v>
      </c>
      <c r="D7" s="7" t="s">
        <v>186</v>
      </c>
    </row>
    <row r="8" spans="1:4" ht="48" customHeight="1" x14ac:dyDescent="0.3">
      <c r="A8" s="23" t="s">
        <v>187</v>
      </c>
      <c r="B8" s="7" t="s">
        <v>188</v>
      </c>
      <c r="C8" s="7" t="s">
        <v>189</v>
      </c>
      <c r="D8" s="7" t="s">
        <v>190</v>
      </c>
    </row>
    <row r="9" spans="1:4" ht="48" customHeight="1" x14ac:dyDescent="0.3">
      <c r="A9" s="23" t="s">
        <v>191</v>
      </c>
      <c r="B9" s="7" t="s">
        <v>192</v>
      </c>
      <c r="C9" s="7" t="s">
        <v>193</v>
      </c>
      <c r="D9" s="7" t="s">
        <v>194</v>
      </c>
    </row>
    <row r="10" spans="1:4" ht="48" customHeight="1" x14ac:dyDescent="0.3">
      <c r="A10" s="23" t="s">
        <v>195</v>
      </c>
      <c r="B10" s="7" t="s">
        <v>196</v>
      </c>
      <c r="C10" s="7" t="s">
        <v>197</v>
      </c>
      <c r="D10" s="7" t="s">
        <v>198</v>
      </c>
    </row>
    <row r="11" spans="1:4" ht="48" customHeight="1" x14ac:dyDescent="0.3">
      <c r="A11" s="23" t="s">
        <v>199</v>
      </c>
      <c r="B11" s="7" t="s">
        <v>200</v>
      </c>
      <c r="C11" s="7" t="s">
        <v>201</v>
      </c>
      <c r="D11" s="7" t="s">
        <v>202</v>
      </c>
    </row>
    <row r="12" spans="1:4" ht="48" customHeight="1" x14ac:dyDescent="0.3">
      <c r="A12" s="23" t="s">
        <v>203</v>
      </c>
      <c r="B12" s="7" t="s">
        <v>204</v>
      </c>
      <c r="C12" s="7" t="s">
        <v>205</v>
      </c>
      <c r="D12" s="7" t="s">
        <v>206</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6640625" defaultRowHeight="14.4" x14ac:dyDescent="0.3"/>
  <cols>
    <col min="1" max="1" width="34" customWidth="1"/>
    <col min="2" max="3" width="40" customWidth="1"/>
    <col min="4" max="4" width="28" customWidth="1"/>
  </cols>
  <sheetData>
    <row r="1" spans="1:4" ht="17.25" customHeight="1" x14ac:dyDescent="0.3">
      <c r="A1" s="1" t="s">
        <v>207</v>
      </c>
    </row>
    <row r="2" spans="1:4" ht="15" customHeight="1" x14ac:dyDescent="0.3">
      <c r="A2" s="2" t="s">
        <v>208</v>
      </c>
    </row>
    <row r="4" spans="1:4" ht="15" customHeight="1" x14ac:dyDescent="0.3">
      <c r="A4" s="9" t="s">
        <v>209</v>
      </c>
      <c r="B4" s="9" t="s">
        <v>210</v>
      </c>
      <c r="C4" s="9" t="s">
        <v>211</v>
      </c>
      <c r="D4" s="9" t="s">
        <v>212</v>
      </c>
    </row>
    <row r="5" spans="1:4" ht="15" customHeight="1" x14ac:dyDescent="0.3">
      <c r="A5" s="7" t="s">
        <v>213</v>
      </c>
      <c r="B5" s="7" t="s">
        <v>214</v>
      </c>
      <c r="C5" s="7" t="s">
        <v>215</v>
      </c>
      <c r="D5" s="7" t="s">
        <v>216</v>
      </c>
    </row>
    <row r="6" spans="1:4" ht="15" customHeight="1" x14ac:dyDescent="0.3">
      <c r="A6" s="7" t="s">
        <v>217</v>
      </c>
      <c r="B6" s="7" t="s">
        <v>218</v>
      </c>
      <c r="C6" s="7" t="s">
        <v>219</v>
      </c>
      <c r="D6" s="7" t="s">
        <v>220</v>
      </c>
    </row>
    <row r="7" spans="1:4" ht="15" customHeight="1" x14ac:dyDescent="0.3">
      <c r="A7" s="7" t="s">
        <v>221</v>
      </c>
      <c r="B7" s="7" t="s">
        <v>222</v>
      </c>
      <c r="C7" s="7" t="s">
        <v>223</v>
      </c>
      <c r="D7" s="7" t="s">
        <v>224</v>
      </c>
    </row>
    <row r="8" spans="1:4" ht="15" customHeight="1" x14ac:dyDescent="0.3">
      <c r="A8" s="7" t="s">
        <v>225</v>
      </c>
      <c r="B8" s="7" t="s">
        <v>226</v>
      </c>
      <c r="C8" s="7" t="s">
        <v>227</v>
      </c>
      <c r="D8" s="7" t="s">
        <v>228</v>
      </c>
    </row>
    <row r="9" spans="1:4" ht="15" customHeight="1" x14ac:dyDescent="0.3">
      <c r="A9" s="7" t="s">
        <v>229</v>
      </c>
      <c r="B9" s="7" t="s">
        <v>230</v>
      </c>
      <c r="C9" s="7" t="s">
        <v>231</v>
      </c>
      <c r="D9" s="7" t="s">
        <v>224</v>
      </c>
    </row>
    <row r="10" spans="1:4" ht="15" customHeight="1" x14ac:dyDescent="0.3">
      <c r="A10" s="7" t="s">
        <v>232</v>
      </c>
      <c r="B10" s="7" t="s">
        <v>233</v>
      </c>
      <c r="C10" s="7" t="s">
        <v>234</v>
      </c>
      <c r="D10" s="7" t="s">
        <v>235</v>
      </c>
    </row>
    <row r="12" spans="1:4" ht="15" customHeight="1" x14ac:dyDescent="0.3">
      <c r="A12" s="20" t="s">
        <v>236</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6640625" defaultRowHeight="14.4" x14ac:dyDescent="0.3"/>
  <cols>
    <col min="1" max="1" width="32" customWidth="1"/>
    <col min="2" max="2" width="90" customWidth="1"/>
    <col min="3" max="3" width="8" customWidth="1"/>
    <col min="4" max="4" width="12" customWidth="1"/>
  </cols>
  <sheetData>
    <row r="1" spans="1:4" ht="17.25" customHeight="1" x14ac:dyDescent="0.3">
      <c r="A1" s="1" t="s">
        <v>237</v>
      </c>
    </row>
    <row r="2" spans="1:4" ht="15" customHeight="1" x14ac:dyDescent="0.3">
      <c r="A2" s="2" t="s">
        <v>238</v>
      </c>
    </row>
    <row r="3" spans="1:4" ht="15" customHeight="1" x14ac:dyDescent="0.3">
      <c r="C3" s="24" t="s">
        <v>239</v>
      </c>
      <c r="D3" s="24" t="s">
        <v>240</v>
      </c>
    </row>
    <row r="4" spans="1:4" ht="33.75" customHeight="1" x14ac:dyDescent="0.3">
      <c r="A4" s="24" t="s">
        <v>241</v>
      </c>
      <c r="B4" s="7" t="s">
        <v>242</v>
      </c>
      <c r="C4" s="25">
        <f>IF(TRIM(B4)="",0,LEN(TRIM(B4))-LEN(SUBSTITUTE(TRIM(B4)," ",""))+1)</f>
        <v>39</v>
      </c>
      <c r="D4" s="17" t="str">
        <f>IF(C4=0,"Trống",IF(C4&gt;60,"Quá 60 chữ","Đạt"))</f>
        <v>Đạt</v>
      </c>
    </row>
    <row r="5" spans="1:4" ht="33.75" customHeight="1" x14ac:dyDescent="0.3">
      <c r="A5" s="24" t="s">
        <v>243</v>
      </c>
      <c r="B5" s="7" t="s">
        <v>244</v>
      </c>
      <c r="C5" s="25">
        <f>IF(TRIM(B5)="",0,LEN(TRIM(B5))-LEN(SUBSTITUTE(TRIM(B5)," ",""))+1)</f>
        <v>47</v>
      </c>
      <c r="D5" s="17" t="str">
        <f>IF(C5=0,"Trống",IF(C5&gt;60,"Quá 60 chữ","Đạt"))</f>
        <v>Đạt</v>
      </c>
    </row>
    <row r="6" spans="1:4" ht="33.75" customHeight="1" x14ac:dyDescent="0.3">
      <c r="A6" s="24" t="s">
        <v>245</v>
      </c>
      <c r="B6" s="7" t="s">
        <v>246</v>
      </c>
      <c r="C6" s="25">
        <f>IF(TRIM(B6)="",0,LEN(TRIM(B6))-LEN(SUBSTITUTE(TRIM(B6)," ",""))+1)</f>
        <v>39</v>
      </c>
      <c r="D6" s="17" t="str">
        <f>IF(C6=0,"Trống",IF(C6&gt;60,"Quá 60 chữ","Đạt"))</f>
        <v>Đạt</v>
      </c>
    </row>
    <row r="7" spans="1:4" ht="33.75" customHeight="1" x14ac:dyDescent="0.3">
      <c r="A7" s="24" t="s">
        <v>247</v>
      </c>
      <c r="B7" s="7" t="s">
        <v>248</v>
      </c>
      <c r="C7" s="25">
        <f>IF(TRIM(B7)="",0,LEN(TRIM(B7))-LEN(SUBSTITUTE(TRIM(B7)," ",""))+1)</f>
        <v>36</v>
      </c>
      <c r="D7" s="17" t="str">
        <f>IF(C7=0,"Trống",IF(C7&gt;60,"Quá 60 chữ","Đạt"))</f>
        <v>Đạt</v>
      </c>
    </row>
    <row r="8" spans="1:4" ht="33.75" customHeight="1" x14ac:dyDescent="0.3">
      <c r="A8" s="24" t="s">
        <v>249</v>
      </c>
      <c r="B8" s="7" t="s">
        <v>250</v>
      </c>
      <c r="C8" s="25">
        <f>IF(TRIM(B8)="",0,LEN(TRIM(B8))-LEN(SUBSTITUTE(TRIM(B8)," ",""))+1)</f>
        <v>38</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6640625" defaultRowHeight="14.4" x14ac:dyDescent="0.3"/>
  <cols>
    <col min="1" max="1" width="66" customWidth="1"/>
    <col min="2" max="3" width="14" customWidth="1"/>
  </cols>
  <sheetData>
    <row r="1" spans="1:3" ht="17.25" customHeight="1" x14ac:dyDescent="0.3">
      <c r="A1" s="1" t="s">
        <v>251</v>
      </c>
    </row>
    <row r="2" spans="1:3" ht="15" customHeight="1" x14ac:dyDescent="0.3">
      <c r="A2" s="2" t="s">
        <v>252</v>
      </c>
    </row>
    <row r="4" spans="1:3" ht="15" customHeight="1" x14ac:dyDescent="0.3">
      <c r="A4" s="9" t="s">
        <v>253</v>
      </c>
      <c r="B4" s="9" t="s">
        <v>254</v>
      </c>
      <c r="C4" s="9" t="s">
        <v>240</v>
      </c>
    </row>
    <row r="5" spans="1:3" ht="15" customHeight="1" x14ac:dyDescent="0.3">
      <c r="A5" s="10" t="s">
        <v>255</v>
      </c>
      <c r="B5" s="11">
        <f>COUNT('1_Danh sách việc'!M5:M14)</f>
        <v>8</v>
      </c>
      <c r="C5" s="11" t="str">
        <f>IF(B5&gt;=5,"Đạt","Xem lại")</f>
        <v>Đạt</v>
      </c>
    </row>
    <row r="6" spans="1:3" ht="15" customHeight="1" x14ac:dyDescent="0.3">
      <c r="A6" s="10" t="s">
        <v>256</v>
      </c>
      <c r="B6" s="11">
        <f>COUNTIFS('1_Danh sách việc'!O5:O14,"Thiếu",'1_Danh sách việc'!P5:P14,"&lt;&gt;Không làm")</f>
        <v>0</v>
      </c>
      <c r="C6" s="11" t="str">
        <f>IF(B5=0,"",IF(B6=0,"Đạt","Xem lại"))</f>
        <v>Đạt</v>
      </c>
    </row>
    <row r="7" spans="1:3" ht="15" customHeight="1" x14ac:dyDescent="0.3">
      <c r="A7" s="10" t="s">
        <v>257</v>
      </c>
      <c r="B7" s="11">
        <f>COUNTIF('2_Mức tự động'!M6:M8,"Có")</f>
        <v>3</v>
      </c>
      <c r="C7" s="11" t="str">
        <f>IF(B7&gt;=2,"Đạt","Xem lại")</f>
        <v>Đạt</v>
      </c>
    </row>
    <row r="8" spans="1:3" ht="15" customHeight="1" x14ac:dyDescent="0.3">
      <c r="A8" s="10" t="s">
        <v>258</v>
      </c>
      <c r="B8" s="11">
        <f>COUNTA('3_Bảng lộ trình'!B5:B12)</f>
        <v>8</v>
      </c>
      <c r="C8" s="11" t="str">
        <f>IF(B8=8,"Đạt","Xem lại")</f>
        <v>Đạt</v>
      </c>
    </row>
    <row r="9" spans="1:3" ht="15" customHeight="1" x14ac:dyDescent="0.3">
      <c r="A9" s="10" t="s">
        <v>259</v>
      </c>
      <c r="B9" s="11" t="str">
        <f>IF(AND(LEN('3_Bảng lộ trình'!B12)&gt;10,SUMPRODUCT(--ISNUMBER(SEARCH({"0","1","2","3","4","5","6","7","8","9"},'3_Bảng lộ trình'!B12)))&gt;0),"Có","Chưa")</f>
        <v>Có</v>
      </c>
      <c r="C9" s="11" t="str">
        <f>IF(B9="Có","Đạt","Xem lại")</f>
        <v>Đạt</v>
      </c>
    </row>
    <row r="10" spans="1:3" ht="15" customHeight="1" x14ac:dyDescent="0.3">
      <c r="A10" s="10" t="s">
        <v>260</v>
      </c>
      <c r="B10" s="11" t="str">
        <f>IF(AND(LEN('3_Bảng lộ trình'!B11)&gt;10,SUMPRODUCT(--ISNUMBER(SEARCH({"0","1","2","3","4","5","6","7","8","9"},'3_Bảng lộ trình'!B11)))&gt;0),"Có","Chưa")</f>
        <v>Có</v>
      </c>
      <c r="C10" s="11" t="str">
        <f>IF(B10="Có","Đạt","Xem lại")</f>
        <v>Đạt</v>
      </c>
    </row>
    <row r="11" spans="1:3" ht="15" customHeight="1" x14ac:dyDescent="0.3">
      <c r="A11" s="10" t="s">
        <v>261</v>
      </c>
      <c r="B11" s="11">
        <f>COUNTIF('5_Slide lãnh đạo'!D4:D8,"Đạt")</f>
        <v>5</v>
      </c>
      <c r="C11" s="11" t="str">
        <f>IF(B11=5,"Đạt","Xem lại")</f>
        <v>Đạt</v>
      </c>
    </row>
    <row r="12" spans="1:3" ht="15" customHeight="1" x14ac:dyDescent="0.3">
      <c r="A12" s="10" t="s">
        <v>262</v>
      </c>
      <c r="B12" s="11">
        <f>COUNTIF('2_Mức tự động'!L5:L8,"Đạt")</f>
        <v>3</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6640625" defaultRowHeight="14.4" x14ac:dyDescent="0.3"/>
  <cols>
    <col min="1" max="1" width="32" customWidth="1"/>
    <col min="2" max="2" width="30" customWidth="1"/>
    <col min="3" max="3" width="80" customWidth="1"/>
    <col min="4" max="4" width="40" customWidth="1"/>
  </cols>
  <sheetData>
    <row r="1" spans="1:4" ht="17.25" customHeight="1" x14ac:dyDescent="0.3">
      <c r="A1" s="1" t="s">
        <v>263</v>
      </c>
    </row>
    <row r="2" spans="1:4" ht="15" customHeight="1" x14ac:dyDescent="0.3">
      <c r="A2" s="2"/>
    </row>
    <row r="4" spans="1:4" ht="15" customHeight="1" x14ac:dyDescent="0.3">
      <c r="A4" s="9" t="s">
        <v>264</v>
      </c>
      <c r="B4" s="9" t="s">
        <v>265</v>
      </c>
      <c r="C4" s="9" t="s">
        <v>266</v>
      </c>
      <c r="D4" s="9" t="s">
        <v>267</v>
      </c>
    </row>
    <row r="5" spans="1:4" ht="15" customHeight="1" x14ac:dyDescent="0.3">
      <c r="A5" s="10" t="s">
        <v>268</v>
      </c>
      <c r="B5">
        <v>20</v>
      </c>
      <c r="C5" s="26" t="s">
        <v>269</v>
      </c>
      <c r="D5" s="27"/>
    </row>
    <row r="6" spans="1:4" ht="15" customHeight="1" x14ac:dyDescent="0.3">
      <c r="A6" s="10" t="s">
        <v>270</v>
      </c>
      <c r="B6">
        <v>20</v>
      </c>
      <c r="C6" s="26" t="s">
        <v>271</v>
      </c>
      <c r="D6" s="27"/>
    </row>
    <row r="7" spans="1:4" ht="15" customHeight="1" x14ac:dyDescent="0.3">
      <c r="A7" s="10" t="s">
        <v>272</v>
      </c>
      <c r="B7">
        <v>25</v>
      </c>
      <c r="C7" s="26" t="s">
        <v>273</v>
      </c>
      <c r="D7" s="27"/>
    </row>
    <row r="8" spans="1:4" ht="15" customHeight="1" x14ac:dyDescent="0.3">
      <c r="A8" s="10" t="s">
        <v>274</v>
      </c>
      <c r="B8">
        <v>15</v>
      </c>
      <c r="C8" s="26" t="s">
        <v>275</v>
      </c>
      <c r="D8" s="27"/>
    </row>
    <row r="9" spans="1:4" ht="15" customHeight="1" x14ac:dyDescent="0.3">
      <c r="A9" s="10" t="s">
        <v>276</v>
      </c>
      <c r="B9">
        <v>20</v>
      </c>
      <c r="C9" s="26" t="s">
        <v>277</v>
      </c>
      <c r="D9" s="27"/>
    </row>
    <row r="10" spans="1:4" ht="15" customHeight="1" x14ac:dyDescent="0.3">
      <c r="A10" s="8" t="s">
        <v>278</v>
      </c>
      <c r="B10">
        <f>SUM(B5:B9)</f>
        <v>100</v>
      </c>
      <c r="D10" s="11">
        <f>SUM(D5:D9)</f>
        <v>0</v>
      </c>
    </row>
    <row r="12" spans="1:4" ht="15" customHeight="1" x14ac:dyDescent="0.3">
      <c r="A12" s="8"/>
      <c r="D12" s="27"/>
    </row>
    <row r="15" spans="1:4" ht="15" customHeight="1" x14ac:dyDescent="0.3">
      <c r="A15" s="28" t="s">
        <v>279</v>
      </c>
    </row>
    <row r="16" spans="1:4" ht="15" customHeight="1" x14ac:dyDescent="0.3">
      <c r="A16" s="9" t="s">
        <v>264</v>
      </c>
      <c r="B16" s="9" t="s">
        <v>280</v>
      </c>
      <c r="C16" s="9" t="s">
        <v>281</v>
      </c>
      <c r="D16" s="9" t="s">
        <v>282</v>
      </c>
    </row>
    <row r="17" spans="1:4" ht="45.75" customHeight="1" x14ac:dyDescent="0.3">
      <c r="A17" s="29" t="s">
        <v>283</v>
      </c>
      <c r="B17" s="30" t="s">
        <v>284</v>
      </c>
      <c r="C17" s="30" t="s">
        <v>285</v>
      </c>
      <c r="D17" s="30" t="s">
        <v>286</v>
      </c>
    </row>
    <row r="18" spans="1:4" ht="45.75" customHeight="1" x14ac:dyDescent="0.3">
      <c r="A18" s="29" t="s">
        <v>287</v>
      </c>
      <c r="B18" s="30" t="s">
        <v>288</v>
      </c>
      <c r="C18" s="30" t="s">
        <v>289</v>
      </c>
      <c r="D18" s="30" t="s">
        <v>290</v>
      </c>
    </row>
    <row r="19" spans="1:4" ht="45.75" customHeight="1" x14ac:dyDescent="0.3">
      <c r="A19" s="29" t="s">
        <v>291</v>
      </c>
      <c r="B19" s="30" t="s">
        <v>292</v>
      </c>
      <c r="C19" s="30" t="s">
        <v>293</v>
      </c>
      <c r="D19" s="30" t="s">
        <v>294</v>
      </c>
    </row>
    <row r="20" spans="1:4" ht="45.75" customHeight="1" x14ac:dyDescent="0.3">
      <c r="A20" s="29" t="s">
        <v>295</v>
      </c>
      <c r="B20" s="30" t="s">
        <v>296</v>
      </c>
      <c r="C20" s="30" t="s">
        <v>297</v>
      </c>
      <c r="D20" s="30" t="s">
        <v>298</v>
      </c>
    </row>
    <row r="22" spans="1:4" ht="15" customHeight="1" x14ac:dyDescent="0.3">
      <c r="A22" s="20" t="s">
        <v>299</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Biển 23021477</cp:lastModifiedBy>
  <cp:revision>0</cp:revision>
  <dcterms:created xsi:type="dcterms:W3CDTF">2026-10-04T05:24:07Z</dcterms:created>
  <dcterms:modified xsi:type="dcterms:W3CDTF">2026-10-16T13:33:11Z</dcterms:modified>
  <dc:language>en-US</dc:language>
</cp:coreProperties>
</file>